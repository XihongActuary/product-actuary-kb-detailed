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差" sheetId="1" state="visible" r:id="rId1"/>
    <sheet xmlns:r="http://schemas.openxmlformats.org/officeDocument/2006/relationships" name="CSM" sheetId="2" state="visible" r:id="rId2"/>
    <sheet xmlns:r="http://schemas.openxmlformats.org/officeDocument/2006/relationships" name="偿付能力" sheetId="3" state="visible" r:id="rId3"/>
    <sheet xmlns:r="http://schemas.openxmlformats.org/officeDocument/2006/relationships" name="红利上限" sheetId="4" state="visible" r:id="rId4"/>
    <sheet xmlns:r="http://schemas.openxmlformats.org/officeDocument/2006/relationships" name="覆盖率" sheetId="5" state="visible" r:id="rId5"/>
    <sheet xmlns:r="http://schemas.openxmlformats.org/officeDocument/2006/relationships" name="演示两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96281B"/>
      <sz val="14"/>
    </font>
    <font>
      <color rgb="002B2B2B"/>
      <sz val="11"/>
    </font>
    <font>
      <b val="1"/>
      <color rgb="002C5F8A"/>
    </font>
    <font>
      <i val="1"/>
      <color rgb="006B6459"/>
      <sz val="9"/>
    </font>
  </fonts>
  <fills count="4">
    <fill>
      <patternFill/>
    </fill>
    <fill>
      <patternFill patternType="gray125"/>
    </fill>
    <fill>
      <patternFill patternType="solid">
        <fgColor rgb="00FDF0EE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E8E1D6"/>
      </left>
      <right style="thin">
        <color rgb="00E8E1D6"/>
      </right>
      <top style="thin">
        <color rgb="00E8E1D6"/>
      </top>
      <bottom style="thin">
        <color rgb="00E8E1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4" fontId="3" fillId="3" borderId="1" pivotButton="0" quotePrefix="0" xfId="0"/>
    <xf numFmtId="0" fontId="4" fillId="0" borderId="0" pivotButton="0" quotePrefix="0" xfId="0"/>
    <xf numFmtId="0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① 利差测算（投资收益率 − 预定利率）</t>
        </is>
      </c>
    </row>
    <row r="3">
      <c r="A3" s="2" t="inlineStr">
        <is>
          <t>投资收益率(%)</t>
        </is>
      </c>
      <c r="B3" s="3" t="n">
        <v>4.5</v>
      </c>
    </row>
    <row r="4">
      <c r="A4" s="2" t="inlineStr">
        <is>
          <t>预定利率(%)</t>
        </is>
      </c>
      <c r="B4" s="3" t="n">
        <v>1.75</v>
      </c>
    </row>
    <row r="6">
      <c r="A6" s="2" t="inlineStr">
        <is>
          <t>利差(%)</t>
        </is>
      </c>
      <c r="B6" s="4">
        <f>B3-B4</f>
        <v/>
      </c>
      <c r="C6" s="5" t="inlineStr">
        <is>
          <t>负值=利差损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② 初始 CSM（IFRS17）</t>
        </is>
      </c>
    </row>
    <row r="3">
      <c r="A3" s="2" t="inlineStr">
        <is>
          <t>保费现值</t>
        </is>
      </c>
      <c r="B3" s="3" t="n">
        <v>1000</v>
      </c>
    </row>
    <row r="4">
      <c r="A4" s="2" t="inlineStr">
        <is>
          <t>赔付现值</t>
        </is>
      </c>
      <c r="B4" s="3" t="n">
        <v>820</v>
      </c>
    </row>
    <row r="5">
      <c r="A5" s="2" t="inlineStr">
        <is>
          <t>费用现值</t>
        </is>
      </c>
      <c r="B5" s="3" t="n">
        <v>90</v>
      </c>
    </row>
    <row r="6">
      <c r="A6" s="2" t="inlineStr">
        <is>
          <t>风险调整</t>
        </is>
      </c>
      <c r="B6" s="3" t="n">
        <v>20</v>
      </c>
    </row>
    <row r="8">
      <c r="A8" s="2" t="inlineStr">
        <is>
          <t>初始 CSM</t>
        </is>
      </c>
      <c r="B8" s="6">
        <f>B3-B4-B5-B6</f>
        <v/>
      </c>
      <c r="C8" s="5" t="inlineStr">
        <is>
          <t>为负=亏损成分LIC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③ 偿付能力充足率（偿二代 C-ROSS II）</t>
        </is>
      </c>
    </row>
    <row r="3">
      <c r="A3" s="2" t="inlineStr">
        <is>
          <t>核心资本</t>
        </is>
      </c>
      <c r="B3" s="3" t="n">
        <v>600</v>
      </c>
    </row>
    <row r="4">
      <c r="A4" s="2" t="inlineStr">
        <is>
          <t>实际资本</t>
        </is>
      </c>
      <c r="B4" s="3" t="n">
        <v>1000</v>
      </c>
    </row>
    <row r="5">
      <c r="A5" s="2" t="inlineStr">
        <is>
          <t>最低资本</t>
        </is>
      </c>
      <c r="B5" s="3" t="n">
        <v>800</v>
      </c>
    </row>
    <row r="7">
      <c r="A7" s="2" t="inlineStr">
        <is>
          <t>核心充足率</t>
        </is>
      </c>
      <c r="B7" s="7">
        <f>B3/B5</f>
        <v/>
      </c>
      <c r="C7" s="5" t="inlineStr">
        <is>
          <t>红线≥50%</t>
        </is>
      </c>
    </row>
    <row r="8">
      <c r="A8" s="2" t="inlineStr">
        <is>
          <t>综合充足率</t>
        </is>
      </c>
      <c r="B8" s="7">
        <f>B4/B5</f>
        <v/>
      </c>
      <c r="C8" s="5" t="inlineStr">
        <is>
          <t>红线≥100%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④ 红利上限（演示）银保监办发〔2020〕6号</t>
        </is>
      </c>
    </row>
    <row r="3">
      <c r="A3" s="2" t="inlineStr">
        <is>
          <t>期初准备金 V0</t>
        </is>
      </c>
      <c r="B3" s="3" t="n">
        <v>950</v>
      </c>
    </row>
    <row r="4">
      <c r="A4" s="2" t="inlineStr">
        <is>
          <t>当期保费 P</t>
        </is>
      </c>
      <c r="B4" s="3" t="n">
        <v>50</v>
      </c>
    </row>
    <row r="5">
      <c r="A5" s="2" t="inlineStr">
        <is>
          <t>投资收益率(%)</t>
        </is>
      </c>
      <c r="B5" s="3" t="n">
        <v>4.5</v>
      </c>
    </row>
    <row r="6">
      <c r="A6" s="2" t="inlineStr">
        <is>
          <t>预定利率(%)</t>
        </is>
      </c>
      <c r="B6" s="3" t="n">
        <v>1.75</v>
      </c>
    </row>
    <row r="7">
      <c r="A7" s="2" t="inlineStr">
        <is>
          <t>分配比例(%)</t>
        </is>
      </c>
      <c r="B7" s="3" t="n">
        <v>70</v>
      </c>
    </row>
    <row r="9">
      <c r="A9" s="2" t="inlineStr">
        <is>
          <t>利差</t>
        </is>
      </c>
      <c r="B9" s="4">
        <f>B5-B6</f>
        <v/>
      </c>
      <c r="C9" s="5" t="inlineStr">
        <is>
          <t>投资收益率−预定利率</t>
        </is>
      </c>
    </row>
    <row r="10">
      <c r="A10" s="2" t="inlineStr">
        <is>
          <t>红利上限</t>
        </is>
      </c>
      <c r="B10" s="6">
        <f>(B3+B4)*B9*(B7/100)</f>
        <v/>
      </c>
      <c r="C10" s="5" t="inlineStr">
        <is>
          <t>(V0+P)×利差×分配比例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⑤ 责任准备金覆盖率 银保监办发〔2020〕6号</t>
        </is>
      </c>
    </row>
    <row r="3">
      <c r="A3" s="2" t="inlineStr">
        <is>
          <t>资产</t>
        </is>
      </c>
      <c r="B3" s="3" t="n">
        <v>1050</v>
      </c>
    </row>
    <row r="4">
      <c r="A4" s="2" t="inlineStr">
        <is>
          <t>其他负债</t>
        </is>
      </c>
      <c r="B4" s="3" t="n">
        <v>30</v>
      </c>
    </row>
    <row r="5">
      <c r="A5" s="2" t="inlineStr">
        <is>
          <t>费用调整项</t>
        </is>
      </c>
      <c r="B5" s="3" t="n">
        <v>10</v>
      </c>
    </row>
    <row r="6">
      <c r="A6" s="2" t="inlineStr">
        <is>
          <t>责任准备金</t>
        </is>
      </c>
      <c r="B6" s="3" t="n">
        <v>1000</v>
      </c>
    </row>
    <row r="8">
      <c r="A8" s="2" t="inlineStr">
        <is>
          <t>覆盖率</t>
        </is>
      </c>
      <c r="B8" s="7">
        <f>(B3-B4+B5)/B6</f>
        <v/>
      </c>
      <c r="C8" s="5" t="inlineStr">
        <is>
          <t>&lt;100% 触发分红下调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</cols>
  <sheetData>
    <row r="1">
      <c r="A1" s="1" t="inlineStr">
        <is>
          <t>⑥ 分红演示两档 银保监规〔2022〕24号</t>
        </is>
      </c>
    </row>
    <row r="3">
      <c r="A3" s="2" t="inlineStr">
        <is>
          <t>预定利率(%)</t>
        </is>
      </c>
      <c r="B3" s="3" t="n">
        <v>1.75</v>
      </c>
    </row>
    <row r="5">
      <c r="A5" s="2" t="inlineStr">
        <is>
          <t>保证利益演示利差(%)</t>
        </is>
      </c>
      <c r="B5" s="4">
        <f>0</f>
        <v/>
      </c>
    </row>
    <row r="6">
      <c r="A6" s="2" t="inlineStr">
        <is>
          <t>红利演示利差上限(%)</t>
        </is>
      </c>
      <c r="B6" s="4">
        <f>0.045-B3</f>
        <v/>
      </c>
      <c r="C6" s="5" t="inlineStr">
        <is>
          <t>4.5%−预定利率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2026-08-28T15:42:37Z</dcterms:created>
  <dcterms:modified xmlns:dcterms="http://purl.org/dc/terms/" xmlns:xsi="http://www.w3.org/2001/XMLSchema-instance" xsi:type="dcterms:W3CDTF">2026-08-28T15:42:37Z</dcterms:modified>
</cp:coreProperties>
</file>