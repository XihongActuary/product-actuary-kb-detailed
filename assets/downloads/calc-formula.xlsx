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" sheetId="1" state="visible" r:id="rId1"/>
    <sheet xmlns:r="http://schemas.openxmlformats.org/officeDocument/2006/relationships" name="现金价值" sheetId="2" state="visible" r:id="rId2"/>
    <sheet xmlns:r="http://schemas.openxmlformats.org/officeDocument/2006/relationships" name="准备金" sheetId="3" state="visible" r:id="rId3"/>
    <sheet xmlns:r="http://schemas.openxmlformats.org/officeDocument/2006/relationships" name="NB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96281B"/>
      <sz val="14"/>
    </font>
    <font>
      <color rgb="002B2B2B"/>
      <sz val="11"/>
    </font>
    <font>
      <b val="1"/>
      <color rgb="002C5F8A"/>
    </font>
    <font>
      <i val="1"/>
      <color rgb="006B6459"/>
      <sz val="9"/>
    </font>
  </fonts>
  <fills count="4">
    <fill>
      <patternFill/>
    </fill>
    <fill>
      <patternFill patternType="gray125"/>
    </fill>
    <fill>
      <patternFill patternType="solid">
        <fgColor rgb="00FDF0EE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E8E1D6"/>
      </left>
      <right style="thin">
        <color rgb="00E8E1D6"/>
      </right>
      <top style="thin">
        <color rgb="00E8E1D6"/>
      </top>
      <bottom style="thin">
        <color rgb="00E8E1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pivotButton="0" quotePrefix="0" xfId="0"/>
    <xf numFmtId="0" fontId="4" fillId="0" borderId="0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定价公式（净保费等价原则）</t>
        </is>
      </c>
    </row>
    <row r="3">
      <c r="A3" s="2" t="inlineStr">
        <is>
          <t>未来给付现值 A</t>
        </is>
      </c>
      <c r="B3" s="3" t="n">
        <v>100000</v>
      </c>
    </row>
    <row r="4">
      <c r="A4" s="2" t="inlineStr">
        <is>
          <t>年金现值因子 ä</t>
        </is>
      </c>
      <c r="B4" s="3" t="n">
        <v>18.5</v>
      </c>
    </row>
    <row r="5">
      <c r="A5" s="2" t="inlineStr">
        <is>
          <t>费用率(%)</t>
        </is>
      </c>
      <c r="B5" s="3" t="n">
        <v>15</v>
      </c>
    </row>
    <row r="7">
      <c r="A7" s="2" t="inlineStr">
        <is>
          <t>年净保费 P</t>
        </is>
      </c>
      <c r="B7" s="4">
        <f>B3/B4</f>
        <v/>
      </c>
    </row>
    <row r="8">
      <c r="A8" s="2" t="inlineStr">
        <is>
          <t>毛保费 G</t>
        </is>
      </c>
      <c r="B8" s="4">
        <f>B7/(1-B5/100)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现金价值最低系数 保监发〔2016〕76号</t>
        </is>
      </c>
    </row>
    <row r="3">
      <c r="A3" s="2" t="inlineStr">
        <is>
          <t>系数 k(%)</t>
        </is>
      </c>
      <c r="B3" s="3" t="n">
        <v>90</v>
      </c>
      <c r="C3" s="5" t="inlineStr">
        <is>
          <t>个人年金/两全90,终身80,趸交100</t>
        </is>
      </c>
    </row>
    <row r="4">
      <c r="A4" s="2" t="inlineStr">
        <is>
          <t>保单年度 t</t>
        </is>
      </c>
      <c r="B4" s="3" t="n">
        <v>5</v>
      </c>
    </row>
    <row r="5">
      <c r="A5" s="2" t="inlineStr">
        <is>
          <t>缴费期间 n</t>
        </is>
      </c>
      <c r="B5" s="3" t="n">
        <v>20</v>
      </c>
    </row>
    <row r="6">
      <c r="A6" s="2" t="inlineStr">
        <is>
          <t>单位准备金</t>
        </is>
      </c>
      <c r="B6" s="3" t="n">
        <v>1000</v>
      </c>
    </row>
    <row r="8">
      <c r="A8" s="2" t="inlineStr">
        <is>
          <t>最低系数 r</t>
        </is>
      </c>
      <c r="B8" s="6">
        <f>(B3+B4*(100-B3)/MIN(20,B5))/100</f>
        <v/>
      </c>
      <c r="C8" s="5" t="inlineStr">
        <is>
          <t>t≥min(20,n)时=100%</t>
        </is>
      </c>
    </row>
    <row r="9">
      <c r="A9" s="2" t="inlineStr">
        <is>
          <t>最低现金价值 MCV</t>
        </is>
      </c>
      <c r="B9" s="4">
        <f>B8*B6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法定准备金（未来法·修正制）</t>
        </is>
      </c>
    </row>
    <row r="3">
      <c r="A3" s="2" t="inlineStr">
        <is>
          <t>未来给付现值 FB</t>
        </is>
      </c>
      <c r="B3" s="3" t="n">
        <v>1200</v>
      </c>
    </row>
    <row r="4">
      <c r="A4" s="2" t="inlineStr">
        <is>
          <t>修正净保费 P'</t>
        </is>
      </c>
      <c r="B4" s="3" t="n">
        <v>60</v>
      </c>
    </row>
    <row r="5">
      <c r="A5" s="2" t="inlineStr">
        <is>
          <t>年金现值因子 ä'</t>
        </is>
      </c>
      <c r="B5" s="3" t="n">
        <v>16</v>
      </c>
    </row>
    <row r="7">
      <c r="A7" s="2" t="inlineStr">
        <is>
          <t>时点准备金 tV</t>
        </is>
      </c>
      <c r="B7" s="4">
        <f>B3-B4*B5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新业务价值 NBV（单年近似）</t>
        </is>
      </c>
    </row>
    <row r="3">
      <c r="A3" s="2" t="inlineStr">
        <is>
          <t>首年保费 WP</t>
        </is>
      </c>
      <c r="B3" s="3" t="n">
        <v>10000</v>
      </c>
    </row>
    <row r="4">
      <c r="A4" s="2" t="inlineStr">
        <is>
          <t>佣金率(%)</t>
        </is>
      </c>
      <c r="B4" s="3" t="n">
        <v>20</v>
      </c>
    </row>
    <row r="5">
      <c r="A5" s="2" t="inlineStr">
        <is>
          <t>维持费用率(%)</t>
        </is>
      </c>
      <c r="B5" s="3" t="n">
        <v>8</v>
      </c>
    </row>
    <row r="6">
      <c r="A6" s="2" t="inlineStr">
        <is>
          <t>赔付率(%)</t>
        </is>
      </c>
      <c r="B6" s="3" t="n">
        <v>55</v>
      </c>
    </row>
    <row r="7">
      <c r="A7" s="2" t="inlineStr">
        <is>
          <t>资本成本率(%)</t>
        </is>
      </c>
      <c r="B7" s="3" t="n">
        <v>5</v>
      </c>
    </row>
    <row r="8">
      <c r="A8" s="2" t="inlineStr">
        <is>
          <t>折现率(%)</t>
        </is>
      </c>
      <c r="B8" s="3" t="n">
        <v>10</v>
      </c>
    </row>
    <row r="10">
      <c r="A10" s="2" t="inlineStr">
        <is>
          <t>价值边际</t>
        </is>
      </c>
      <c r="B10" s="6">
        <f>1-B4/100-B5/100-B6/100-B7/100</f>
        <v/>
      </c>
      <c r="C10" s="5" t="inlineStr">
        <is>
          <t>为负=价值侵蚀</t>
        </is>
      </c>
    </row>
    <row r="11">
      <c r="A11" s="2" t="inlineStr">
        <is>
          <t>VNB</t>
        </is>
      </c>
      <c r="B11" s="4">
        <f>B3*B10/(1+B8/100)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2026-08-28T15:42:38Z</dcterms:created>
  <dcterms:modified xmlns:dcterms="http://purl.org/dc/terms/" xmlns:xsi="http://www.w3.org/2001/XMLSchema-instance" xsi:type="dcterms:W3CDTF">2026-08-28T15:42:38Z</dcterms:modified>
</cp:coreProperties>
</file>